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ivi" sheetId="1" state="visible" r:id="rId3"/>
    <sheet name="Progression" sheetId="2" state="visible" r:id="rId4"/>
    <sheet name="Textes" sheetId="3" state="visible" r:id="rId5"/>
  </sheets>
  <definedNames>
    <definedName function="false" hidden="true" localSheetId="2" name="_xlnm._FilterDatabase" vbProcedure="false">Textes!$A$4:$E$39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<sst xmlns="http://schemas.openxmlformats.org/spreadsheetml/2006/main" count="308" uniqueCount="72">
  <si>
    <t xml:space="preserve">Les petits jours — suivi du calendrier</t>
  </si>
  <si>
    <t xml:space="preserve">Légende : colonnes C et D = contenu prévu (x). Colonnes G à M = état d'avancement par personne (liste déroulante) : À faire → En cours → Prêt → Publié. Modifie uniquement ces cellules et les notes.</t>
  </si>
  <si>
    <t xml:space="preserve">Jour</t>
  </si>
  <si>
    <t xml:space="preserve">Date</t>
  </si>
  <si>
    <t xml:space="preserve">Vidéo</t>
  </si>
  <si>
    <t xml:space="preserve">Photo</t>
  </si>
  <si>
    <t xml:space="preserve">Type de case</t>
  </si>
  <si>
    <t xml:space="preserve">Notes</t>
  </si>
  <si>
    <t xml:space="preserve">Brice</t>
  </si>
  <si>
    <t xml:space="preserve">Antoine</t>
  </si>
  <si>
    <t xml:space="preserve">Amandine</t>
  </si>
  <si>
    <t xml:space="preserve">Orleane</t>
  </si>
  <si>
    <t xml:space="preserve">Louisa</t>
  </si>
  <si>
    <t xml:space="preserve">Thomas</t>
  </si>
  <si>
    <t xml:space="preserve">Emerick</t>
  </si>
  <si>
    <t xml:space="preserve">x</t>
  </si>
  <si>
    <t xml:space="preserve">Vidéo d'intro : « Salut, j'ai décidé de te faire un petit calendrier de l'Avent, j'espère que ça te plaira, tu auras des petites vidéos, des photos, des textes etc… »</t>
  </si>
  <si>
    <t xml:space="preserve">À faire</t>
  </si>
  <si>
    <t xml:space="preserve">Vidéo de fin : « Salut xxxx, j'espère que ce calendrier de l'avent t'as plus… »</t>
  </si>
  <si>
    <t xml:space="preserve">Publié (sur 24)</t>
  </si>
  <si>
    <t xml:space="preserve">Prêt ou publié (sur 24)</t>
  </si>
  <si>
    <t xml:space="preserve">Progression par personne</t>
  </si>
  <si>
    <t xml:space="preserve">Personne</t>
  </si>
  <si>
    <t xml:space="preserve">En cours</t>
  </si>
  <si>
    <t xml:space="preserve">Prêt</t>
  </si>
  <si>
    <t xml:space="preserve">Publié</t>
  </si>
  <si>
    <t xml:space="preserve">% prêt ou publié</t>
  </si>
  <si>
    <t xml:space="preserve">Total</t>
  </si>
  <si>
    <t xml:space="preserve">Répartition du contenu prévu</t>
  </si>
  <si>
    <t xml:space="preserve">Jours avec vidéo</t>
  </si>
  <si>
    <t xml:space="preserve">Jours avec photo</t>
  </si>
  <si>
    <t xml:space="preserve">Jours avec vidéo + photo</t>
  </si>
  <si>
    <t xml:space="preserve">Jours avec texte seul</t>
  </si>
  <si>
    <t xml:space="preserve">Textes par personne (jours sans média + mot du 24)</t>
  </si>
  <si>
    <t xml:space="preserve">Jours concernés : 8, 14, 19, 22, 24 décembre (le 24 est un mot de fin en plus de la vidéo et de la photo). Les textes sont volontairement simples et chaleureux : adapte-les avec un souvenir ou une private joke pour chaque personne. Tout est modifiable ici.</t>
  </si>
  <si>
    <t xml:space="preserve">Texte</t>
  </si>
  <si>
    <t xml:space="preserve">Caractères</t>
  </si>
  <si>
    <t xml:space="preserve">Salut Brice ! Aujourd'hui, pas de photo ni de vidéo, juste un petit mot : en décembre tout va vite, alors prends cinq minutes pour souffler. Chocolat chaud, plaid, musique de Noël… tu l'as bien mérité. Je pense à toi.</t>
  </si>
  <si>
    <t xml:space="preserve">Brice, on est déjà à la moitié du chemin ! Une case sans image aujourd'hui, pour te dire que j'espère que ce calendrier te fait sourire jusqu'ici. Il reste encore plein de surprises, ne lâche rien.</t>
  </si>
  <si>
    <t xml:space="preserve">Brice, plus que quelques jours avant Noël ! Aujourd'hui, un mot pour te souhaiter de beaux préparatifs et un peu de calme malgré la course aux cadeaux. Respire, ça va être beau.</t>
  </si>
  <si>
    <t xml:space="preserve">Brice, plus que deux jours ! Une case sans image pour te dire que j'espère que tu es entouré de gens qui t'aiment pour ces fêtes. Merci d'avoir joué le jeu de ce calendrier, ça me fait vraiment plaisir.</t>
  </si>
  <si>
    <t xml:space="preserve">Brice, je te fais plein de gros bisous ! Je te souhaite un joyeux réveillon et un très joyeux Noël, rempli de rires, de bonnes choses à table et de gens que tu aimes. Merci d'avoir ouvert toutes les cases jusqu'au bout. Prends soin de toi.</t>
  </si>
  <si>
    <t xml:space="preserve">Salut Antoine ! Une case toute simple aujourd'hui : un mot pour te dire merci d'être quelqu'un sur qui on peut compter. Ça fait du bien de savoir que tu es là. Profite bien de ta journée, et de ton calendrier !</t>
  </si>
  <si>
    <t xml:space="preserve">Antoine, déjà la mi-décembre ! Aujourd'hui, simplement un mot pour te souhaiter une belle journée. J'espère que le calendrier te plaît jusqu'ici, et que la suite sera à la hauteur.</t>
  </si>
  <si>
    <t xml:space="preserve">Antoine, Noël approche à grands pas ! Une case sans image aujourd'hui, avec tous mes vœux pour que ces derniers jours avant les fêtes soient doux. Profite des petits moments, ce sont les meilleurs.</t>
  </si>
  <si>
    <t xml:space="preserve">Antoine, la veille de la veille ! Un petit mot pour te dire que j'espère que Noël sera à la hauteur de ce que tu mérites : chaleureux, drôle et plein de bonnes choses. À très vite pour les dernières cases.</t>
  </si>
  <si>
    <t xml:space="preserve">Antoine, je te fais plein de gros bisous ! Passe un joyeux réveillon et un très joyeux Noël, entouré de ceux qui comptent. Merci d'avoir suivi ce calendrier jusqu'à la dernière case, ça me touche. Profite bien de chaque instant.</t>
  </si>
  <si>
    <t xml:space="preserve">Coucou Amandine ! Aujourd'hui, juste quelques mots : ton sourire fait partie des petites lumières de mon mois de décembre. Garde un moment rien que pour toi aujourd'hui, avec quelque chose de bon à grignoter.</t>
  </si>
  <si>
    <t xml:space="preserve">Amandine, on arrive à la moitié du calendrier ! Un petit mot aujourd'hui pour te dire que je suis content de pouvoir te faire plaisir avec ces petites surprises. Il en reste encore plein !</t>
  </si>
  <si>
    <t xml:space="preserve">Amandine, plus que quelques jours avant Noël ! Aujourd'hui, simplement un petit mot pour te dire d'en profiter : les lumières, les bonnes odeurs, les gens qu'on aime. Je te souhaite de très belles fêtes.</t>
  </si>
  <si>
    <t xml:space="preserve">Amandine, plus que deux cases avant Noël ! Aujourd'hui, un mot tout simple : j'espère que tu passeras de très belles fêtes, entourée de ceux que tu aimes. Merci de suivre ce calendrier jusqu'au bout.</t>
  </si>
  <si>
    <t xml:space="preserve">Amandine, je te fais plein de gros bisous ! Je te souhaite un joyeux réveillon et un très joyeux Noël, avec de la chaleur, des rires et tout ce qui te fait plaisir. Merci d'avoir ouvert toutes ces petites cases avec moi jusqu'au bout.</t>
  </si>
  <si>
    <t xml:space="preserve">Coucou Orleane ! Pas d'image aujourd'hui, mais une pensée : j'espère que ta journée est douce et que tu trouves un moment pour te faire plaisir. Tu mérites plein de belles choses en cette période.</t>
  </si>
  <si>
    <t xml:space="preserve">Orleane, déjà la moitié du calendrier ! Aujourd'hui pas de photo, mais tout mon meilleur pour ta journée. J'espère que ces petites cases te mettent un peu de joie chaque jour.</t>
  </si>
  <si>
    <t xml:space="preserve">Orleane, le compte à rebours est lancé ! Une case toute simple pour te souhaiter une fin de semaine tranquille et de belles préparations de Noël. J'espère que tu auras plein de moments chaleureux.</t>
  </si>
  <si>
    <t xml:space="preserve">Orleane, Noël est presque là ! Un petit mot pour te souhaiter des fêtes pleines de chaleur, de rires et de bonnes choses à table. Il te reste deux surprises à découvrir.</t>
  </si>
  <si>
    <t xml:space="preserve">Orleane, je te fais plein de gros bisous ! Passe un joyeux réveillon et un merveilleux Noël, entourée de belles personnes et de bonnes choses. J'espère que ce calendrier t'a fait sourire du 1er au 24. Prends soin de toi.</t>
  </si>
  <si>
    <t xml:space="preserve">Coucou Louisa ! Une petite case pour te dire que je pense à toi. Décembre est le mois idéal pour ralentir un peu : une boisson chaude, une bonne chanson, et le tour est joué. Bonne journée !</t>
  </si>
  <si>
    <t xml:space="preserve">Louisa, on est à mi-parcours ! Une case toute simple pour te dire que j'espère que le calendrier te plaît. Prends un instant pour toi aujourd'hui : tu le mérites.</t>
  </si>
  <si>
    <t xml:space="preserve">Louisa, Noël est tout proche ! Aujourd'hui, un petit mot pour te dire que je pense à toi et te souhaiter des préparatifs sereins. Que ces derniers jours avant les fêtes soient pleins de douceur.</t>
  </si>
  <si>
    <t xml:space="preserve">Louisa, plus que deux jours avant Noël ! Une case simple pour te souhaiter de très belles fêtes, avec ceux que tu aimes. J'espère que ce calendrier t'a fait passer de jolis moments.</t>
  </si>
  <si>
    <t xml:space="preserve">Louisa, je te fais plein de gros bisous ! Je te souhaite un joyeux réveillon et un très joyeux Noël, tout en douceur et en bonne humeur. Merci d'avoir ouvert toutes les cases jusqu'à celle-ci, j'espère qu'elles t'ont fait plaisir.</t>
  </si>
  <si>
    <t xml:space="preserve">Salut Thomas ! Petit mot du jour : merci d'être là, tout simplement. J'espère que ce calendrier te met un peu de magie dans tes journées. Et si tu as un chocolat chaud sous la main, c'est le moment !</t>
  </si>
  <si>
    <t xml:space="preserve">Thomas, mi-décembre déjà ! Aujourd'hui, un petit mot pour te dire que j'espère que ça te plaît jusqu'ici. Il reste des surprises, alors garde ta curiosité pour les prochains jours.</t>
  </si>
  <si>
    <t xml:space="preserve">Thomas, ça sent le sapin ! Aujourd'hui un petit mot : j'espère que les derniers jours avant Noël seront légers et agréables. Et n'oublie pas de garder un peu de place pour les desserts.</t>
  </si>
  <si>
    <t xml:space="preserve">Thomas, le grand jour approche ! Un petit mot pour te souhaiter de belles fêtes, de bons moments en famille ou entre amis, et beaucoup de bonne humeur. Il reste deux surprises, ne les rate pas.</t>
  </si>
  <si>
    <t xml:space="preserve">Thomas, je te fais plein de gros bisous ! Passe un joyeux réveillon et un très joyeux Noël, avec de la bonne humeur, de la bonne bouffe et les gens que tu aimes. Merci d'avoir joué le jeu jusqu'à la fin de ce calendrier.</t>
  </si>
  <si>
    <t xml:space="preserve">Salut Emerick ! Une case sans image aujourd'hui, juste un petit mot : décembre file vite, alors n'oublie pas de souffler un peu. Un chocolat chaud, de la musique de Noël, et profite. Je pense à toi.</t>
  </si>
  <si>
    <t xml:space="preserve">Emerick, déjà la mi-décembre ! Aujourd'hui, simplement un mot pour te souhaiter une belle journée. J'espère que ce calendrier te plaît jusqu'ici, et il reste encore des surprises pour la suite.</t>
  </si>
  <si>
    <t xml:space="preserve">Emerick, Noël approche à grands pas ! Une case toute simple aujourd'hui, pour te souhaiter de beaux préparatifs et un peu de calme malgré la course aux cadeaux. Savoure les petits moments.</t>
  </si>
  <si>
    <t xml:space="preserve">Emerick, plus que deux jours avant Noël ! Un petit mot pour te dire que j'espère que tu passeras de belles fêtes, bien entouré. Merci de suivre ce calendrier, il te reste encore deux surprises à découvrir.</t>
  </si>
  <si>
    <t xml:space="preserve">Emerick, je te fais plein de gros bisous ! Je te souhaite un joyeux réveillon et un très joyeux Noël, avec de la bonne humeur, de bonnes choses à table et les gens que tu aimes. Merci d'avoir ouvert toutes les cases jusqu'au bout.</t>
  </si>
</sst>
</file>

<file path=xl/styles.xml><?xml version="1.0" encoding="utf-8"?>
<styleSheet xmlns="http://schemas.openxmlformats.org/spreadsheetml/2006/main">
  <numFmts count="5">
    <numFmt numFmtId="164" formatCode="General"/>
    <numFmt numFmtId="165" formatCode="ddd\ d\ mmm"/>
    <numFmt numFmtId="166" formatCode="General"/>
    <numFmt numFmtId="167" formatCode="0%"/>
    <numFmt numFmtId="168" formatCode="d\ mmm"/>
  </numFmts>
  <fonts count="12">
    <font>
      <sz val="11"/>
      <color theme="1"/>
      <name val="Calibri"/>
      <family val="2"/>
      <charset val="1"/>
    </font>
    <font>
      <sz val="10"/>
      <name val="Arial"/>
      <family val="0"/>
    </font>
    <font>
      <sz val="10"/>
      <name val="Arial"/>
      <family val="0"/>
    </font>
    <font>
      <sz val="10"/>
      <name val="Arial"/>
      <family val="0"/>
    </font>
    <font>
      <b val="true"/>
      <sz val="16"/>
      <color rgb="FF234A40"/>
      <name val="Arial"/>
      <family val="0"/>
      <charset val="1"/>
    </font>
    <font>
      <i val="true"/>
      <sz val="10"/>
      <color rgb="FF647065"/>
      <name val="Arial"/>
      <family val="0"/>
      <charset val="1"/>
    </font>
    <font>
      <b val="true"/>
      <sz val="11"/>
      <color rgb="FFFFFDF7"/>
      <name val="Arial"/>
      <family val="0"/>
      <charset val="1"/>
    </font>
    <font>
      <sz val="10"/>
      <name val="Arial"/>
      <family val="0"/>
      <charset val="1"/>
    </font>
    <font>
      <b val="true"/>
      <sz val="10"/>
      <name val="Arial"/>
      <family val="0"/>
      <charset val="1"/>
    </font>
    <font>
      <b val="true"/>
      <sz val="11"/>
      <name val="Arial"/>
      <family val="0"/>
      <charset val="1"/>
    </font>
    <font>
      <sz val="11"/>
      <name val="Arial"/>
      <family val="0"/>
      <charset val="1"/>
    </font>
    <font>
      <b val="true"/>
      <sz val="12"/>
      <color rgb="FF234A40"/>
      <name val="Arial"/>
      <family val="0"/>
      <charset val="1"/>
    </font>
  </fonts>
  <fills count="4">
    <fill>
      <patternFill patternType="none"/>
    </fill>
    <fill>
      <patternFill patternType="gray125"/>
    </fill>
    <fill>
      <patternFill patternType="solid">
        <fgColor rgb="FF234A40"/>
        <bgColor rgb="FF1F5B3A"/>
      </patternFill>
    </fill>
    <fill>
      <patternFill patternType="solid">
        <fgColor rgb="FFF3ECD9"/>
        <bgColor rgb="FFFBF0CE"/>
      </patternFill>
    </fill>
  </fills>
  <borders count="2">
    <border diagonalUp="false" diagonalDown="false">
      <left/>
      <right/>
      <top/>
      <bottom/>
      <diagonal/>
    </border>
    <border diagonalUp="false" diagonalDown="false">
      <left style="thin">
        <color rgb="FFD9D2BC"/>
      </left>
      <right style="thin">
        <color rgb="FFD9D2BC"/>
      </right>
      <top style="thin">
        <color rgb="FFD9D2BC"/>
      </top>
      <bottom style="thin">
        <color rgb="FFD9D2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left"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color rgb="FF8A3A2B"/>
        <sz val="10"/>
      </font>
      <fill>
        <patternFill>
          <bgColor rgb="FFF6E3DC"/>
        </patternFill>
      </fill>
    </dxf>
    <dxf>
      <font>
        <name val="Arial"/>
        <charset val="1"/>
        <family val="0"/>
        <color rgb="FF7A5A0E"/>
        <sz val="10"/>
      </font>
      <fill>
        <patternFill>
          <bgColor rgb="FFFBF0CE"/>
        </patternFill>
      </fill>
    </dxf>
    <dxf>
      <font>
        <name val="Arial"/>
        <charset val="1"/>
        <family val="0"/>
        <color rgb="FF234A6B"/>
        <sz val="10"/>
      </font>
      <fill>
        <patternFill>
          <bgColor rgb="FFDCEBF6"/>
        </patternFill>
      </fill>
    </dxf>
    <dxf>
      <font>
        <name val="Arial"/>
        <charset val="1"/>
        <family val="0"/>
        <color rgb="FF1F5B3A"/>
        <sz val="10"/>
      </font>
      <fill>
        <patternFill>
          <bgColor rgb="FFDDEFD9"/>
        </patternFill>
      </fill>
    </dxf>
    <dxf>
      <fill>
        <patternFill>
          <bgColor rgb="FFFFF6DC"/>
        </patternFill>
      </fill>
    </dxf>
    <dxf>
      <fill>
        <patternFill patternType="solid">
          <fgColor rgb="FF234A40"/>
          <bgColor rgb="FF000000"/>
        </patternFill>
      </fill>
    </dxf>
    <dxf>
      <fill>
        <patternFill patternType="solid">
          <bgColor rgb="FF000000"/>
        </patternFill>
      </fill>
    </dxf>
    <dxf>
      <fill>
        <patternFill patternType="solid">
          <fgColor rgb="FFFFFDF7"/>
          <bgColor rgb="FF000000"/>
        </patternFill>
      </fill>
    </dxf>
  </dxfs>
  <colors>
    <indexedColors>
      <rgbColor rgb="FF000000"/>
      <rgbColor rgb="FFFFFDF7"/>
      <rgbColor rgb="FFFF0000"/>
      <rgbColor rgb="FF00FF00"/>
      <rgbColor rgb="FF0000FF"/>
      <rgbColor rgb="FFFFFF00"/>
      <rgbColor rgb="FFFF00FF"/>
      <rgbColor rgb="FF00FFFF"/>
      <rgbColor rgb="FF800000"/>
      <rgbColor rgb="FF008000"/>
      <rgbColor rgb="FF000080"/>
      <rgbColor rgb="FF7A5A0E"/>
      <rgbColor rgb="FF800080"/>
      <rgbColor rgb="FF008080"/>
      <rgbColor rgb="FFD9D2BC"/>
      <rgbColor rgb="FF808080"/>
      <rgbColor rgb="FF9999FF"/>
      <rgbColor rgb="FF993366"/>
      <rgbColor rgb="FFFFF6DC"/>
      <rgbColor rgb="FFDCEB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ECD9"/>
      <rgbColor rgb="FFDDEFD9"/>
      <rgbColor rgb="FFFBF0CE"/>
      <rgbColor rgb="FF99CCFF"/>
      <rgbColor rgb="FFFF99CC"/>
      <rgbColor rgb="FFCC99FF"/>
      <rgbColor rgb="FFF6E3DC"/>
      <rgbColor rgb="FF3366FF"/>
      <rgbColor rgb="FF33CCCC"/>
      <rgbColor rgb="FF99CC00"/>
      <rgbColor rgb="FFFFCC00"/>
      <rgbColor rgb="FFFF9900"/>
      <rgbColor rgb="FFFF6600"/>
      <rgbColor rgb="FF647065"/>
      <rgbColor rgb="FF969696"/>
      <rgbColor rgb="FF003366"/>
      <rgbColor rgb="FF339966"/>
      <rgbColor rgb="FF003300"/>
      <rgbColor rgb="FF1F5B3A"/>
      <rgbColor rgb="FF8A3A2B"/>
      <rgbColor rgb="FF993366"/>
      <rgbColor rgb="FF234A6B"/>
      <rgbColor rgb="FF234A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4" min="3" style="0" width="8"/>
    <col collapsed="false" customWidth="true" hidden="false" outlineLevel="0" max="5" min="5" style="0" width="16"/>
    <col collapsed="false" customWidth="true" hidden="false" outlineLevel="0" max="6" min="6" style="0" width="48"/>
    <col collapsed="false" customWidth="true" hidden="false" outlineLevel="0" max="13" min="7" style="0" width="12"/>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row>
    <row r="4" customFormat="false" ht="25.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61.5" hidden="false" customHeight="true" outlineLevel="0" collapsed="false">
      <c r="A5" s="4" t="n">
        <v>1</v>
      </c>
      <c r="B5" s="5" t="n">
        <v>46357</v>
      </c>
      <c r="C5" s="4" t="s">
        <v>15</v>
      </c>
      <c r="D5" s="4" t="s">
        <v>15</v>
      </c>
      <c r="E5" s="6" t="str">
        <f aca="false">IF(AND(C5="x",D5="x"),"Vidéo + photo",IF(C5="x","Vidéo",IF(D5="x","Photo","Texte")))</f>
        <v>Vidéo + photo</v>
      </c>
      <c r="F5" s="7" t="s">
        <v>16</v>
      </c>
      <c r="G5" s="4" t="s">
        <v>17</v>
      </c>
      <c r="H5" s="4" t="s">
        <v>17</v>
      </c>
      <c r="I5" s="4" t="s">
        <v>17</v>
      </c>
      <c r="J5" s="4" t="s">
        <v>17</v>
      </c>
      <c r="K5" s="4" t="s">
        <v>17</v>
      </c>
      <c r="L5" s="4" t="s">
        <v>17</v>
      </c>
      <c r="M5" s="4" t="s">
        <v>17</v>
      </c>
    </row>
    <row r="6" customFormat="false" ht="15" hidden="false" customHeight="false" outlineLevel="0" collapsed="false">
      <c r="A6" s="8" t="n">
        <v>2</v>
      </c>
      <c r="B6" s="9" t="n">
        <v>46358</v>
      </c>
      <c r="C6" s="8"/>
      <c r="D6" s="8" t="s">
        <v>15</v>
      </c>
      <c r="E6" s="10" t="str">
        <f aca="false">IF(AND(C6="x",D6="x"),"Vidéo + photo",IF(C6="x","Vidéo",IF(D6="x","Photo","Texte")))</f>
        <v>Photo</v>
      </c>
      <c r="F6" s="11"/>
      <c r="G6" s="8" t="s">
        <v>17</v>
      </c>
      <c r="H6" s="8" t="s">
        <v>17</v>
      </c>
      <c r="I6" s="8" t="s">
        <v>17</v>
      </c>
      <c r="J6" s="8" t="s">
        <v>17</v>
      </c>
      <c r="K6" s="8" t="s">
        <v>17</v>
      </c>
      <c r="L6" s="8" t="s">
        <v>17</v>
      </c>
      <c r="M6" s="8" t="s">
        <v>17</v>
      </c>
    </row>
    <row r="7" customFormat="false" ht="15" hidden="false" customHeight="false" outlineLevel="0" collapsed="false">
      <c r="A7" s="8" t="n">
        <v>3</v>
      </c>
      <c r="B7" s="9" t="n">
        <v>46359</v>
      </c>
      <c r="C7" s="8"/>
      <c r="D7" s="8" t="s">
        <v>15</v>
      </c>
      <c r="E7" s="10" t="str">
        <f aca="false">IF(AND(C7="x",D7="x"),"Vidéo + photo",IF(C7="x","Vidéo",IF(D7="x","Photo","Texte")))</f>
        <v>Photo</v>
      </c>
      <c r="F7" s="11"/>
      <c r="G7" s="8" t="s">
        <v>17</v>
      </c>
      <c r="H7" s="8" t="s">
        <v>17</v>
      </c>
      <c r="I7" s="8" t="s">
        <v>17</v>
      </c>
      <c r="J7" s="8" t="s">
        <v>17</v>
      </c>
      <c r="K7" s="8" t="s">
        <v>17</v>
      </c>
      <c r="L7" s="8" t="s">
        <v>17</v>
      </c>
      <c r="M7" s="8" t="s">
        <v>17</v>
      </c>
    </row>
    <row r="8" customFormat="false" ht="15" hidden="false" customHeight="false" outlineLevel="0" collapsed="false">
      <c r="A8" s="8" t="n">
        <v>4</v>
      </c>
      <c r="B8" s="9" t="n">
        <v>46360</v>
      </c>
      <c r="C8" s="8" t="s">
        <v>15</v>
      </c>
      <c r="D8" s="8"/>
      <c r="E8" s="10" t="str">
        <f aca="false">IF(AND(C8="x",D8="x"),"Vidéo + photo",IF(C8="x","Vidéo",IF(D8="x","Photo","Texte")))</f>
        <v>Vidéo</v>
      </c>
      <c r="F8" s="11"/>
      <c r="G8" s="8" t="s">
        <v>17</v>
      </c>
      <c r="H8" s="8" t="s">
        <v>17</v>
      </c>
      <c r="I8" s="8" t="s">
        <v>17</v>
      </c>
      <c r="J8" s="8" t="s">
        <v>17</v>
      </c>
      <c r="K8" s="8" t="s">
        <v>17</v>
      </c>
      <c r="L8" s="8" t="s">
        <v>17</v>
      </c>
      <c r="M8" s="8" t="s">
        <v>17</v>
      </c>
    </row>
    <row r="9" customFormat="false" ht="15" hidden="false" customHeight="false" outlineLevel="0" collapsed="false">
      <c r="A9" s="8" t="n">
        <v>5</v>
      </c>
      <c r="B9" s="9" t="n">
        <v>46361</v>
      </c>
      <c r="C9" s="8"/>
      <c r="D9" s="8" t="s">
        <v>15</v>
      </c>
      <c r="E9" s="10" t="str">
        <f aca="false">IF(AND(C9="x",D9="x"),"Vidéo + photo",IF(C9="x","Vidéo",IF(D9="x","Photo","Texte")))</f>
        <v>Photo</v>
      </c>
      <c r="F9" s="11"/>
      <c r="G9" s="8" t="s">
        <v>17</v>
      </c>
      <c r="H9" s="8" t="s">
        <v>17</v>
      </c>
      <c r="I9" s="8" t="s">
        <v>17</v>
      </c>
      <c r="J9" s="8" t="s">
        <v>17</v>
      </c>
      <c r="K9" s="8" t="s">
        <v>17</v>
      </c>
      <c r="L9" s="8" t="s">
        <v>17</v>
      </c>
      <c r="M9" s="8" t="s">
        <v>17</v>
      </c>
    </row>
    <row r="10" customFormat="false" ht="15" hidden="false" customHeight="false" outlineLevel="0" collapsed="false">
      <c r="A10" s="8" t="n">
        <v>6</v>
      </c>
      <c r="B10" s="9" t="n">
        <v>46362</v>
      </c>
      <c r="C10" s="8"/>
      <c r="D10" s="8" t="s">
        <v>15</v>
      </c>
      <c r="E10" s="10" t="str">
        <f aca="false">IF(AND(C10="x",D10="x"),"Vidéo + photo",IF(C10="x","Vidéo",IF(D10="x","Photo","Texte")))</f>
        <v>Photo</v>
      </c>
      <c r="F10" s="11"/>
      <c r="G10" s="8" t="s">
        <v>17</v>
      </c>
      <c r="H10" s="8" t="s">
        <v>17</v>
      </c>
      <c r="I10" s="8" t="s">
        <v>17</v>
      </c>
      <c r="J10" s="8" t="s">
        <v>17</v>
      </c>
      <c r="K10" s="8" t="s">
        <v>17</v>
      </c>
      <c r="L10" s="8" t="s">
        <v>17</v>
      </c>
      <c r="M10" s="8" t="s">
        <v>17</v>
      </c>
    </row>
    <row r="11" customFormat="false" ht="15" hidden="false" customHeight="false" outlineLevel="0" collapsed="false">
      <c r="A11" s="8" t="n">
        <v>7</v>
      </c>
      <c r="B11" s="9" t="n">
        <v>46363</v>
      </c>
      <c r="C11" s="8"/>
      <c r="D11" s="8" t="s">
        <v>15</v>
      </c>
      <c r="E11" s="10" t="str">
        <f aca="false">IF(AND(C11="x",D11="x"),"Vidéo + photo",IF(C11="x","Vidéo",IF(D11="x","Photo","Texte")))</f>
        <v>Photo</v>
      </c>
      <c r="F11" s="11"/>
      <c r="G11" s="8" t="s">
        <v>17</v>
      </c>
      <c r="H11" s="8" t="s">
        <v>17</v>
      </c>
      <c r="I11" s="8" t="s">
        <v>17</v>
      </c>
      <c r="J11" s="8" t="s">
        <v>17</v>
      </c>
      <c r="K11" s="8" t="s">
        <v>17</v>
      </c>
      <c r="L11" s="8" t="s">
        <v>17</v>
      </c>
      <c r="M11" s="8" t="s">
        <v>17</v>
      </c>
    </row>
    <row r="12" customFormat="false" ht="15" hidden="false" customHeight="false" outlineLevel="0" collapsed="false">
      <c r="A12" s="8" t="n">
        <v>8</v>
      </c>
      <c r="B12" s="9" t="n">
        <v>46364</v>
      </c>
      <c r="C12" s="8"/>
      <c r="D12" s="8"/>
      <c r="E12" s="10" t="str">
        <f aca="false">IF(AND(C12="x",D12="x"),"Vidéo + photo",IF(C12="x","Vidéo",IF(D12="x","Photo","Texte")))</f>
        <v>Texte</v>
      </c>
      <c r="F12" s="11"/>
      <c r="G12" s="8" t="s">
        <v>17</v>
      </c>
      <c r="H12" s="8" t="s">
        <v>17</v>
      </c>
      <c r="I12" s="8" t="s">
        <v>17</v>
      </c>
      <c r="J12" s="8" t="s">
        <v>17</v>
      </c>
      <c r="K12" s="8" t="s">
        <v>17</v>
      </c>
      <c r="L12" s="8" t="s">
        <v>17</v>
      </c>
      <c r="M12" s="8" t="s">
        <v>17</v>
      </c>
    </row>
    <row r="13" customFormat="false" ht="15" hidden="false" customHeight="false" outlineLevel="0" collapsed="false">
      <c r="A13" s="8" t="n">
        <v>9</v>
      </c>
      <c r="B13" s="9" t="n">
        <v>46365</v>
      </c>
      <c r="C13" s="8" t="s">
        <v>15</v>
      </c>
      <c r="D13" s="8" t="s">
        <v>15</v>
      </c>
      <c r="E13" s="10" t="str">
        <f aca="false">IF(AND(C13="x",D13="x"),"Vidéo + photo",IF(C13="x","Vidéo",IF(D13="x","Photo","Texte")))</f>
        <v>Vidéo + photo</v>
      </c>
      <c r="F13" s="11"/>
      <c r="G13" s="8" t="s">
        <v>17</v>
      </c>
      <c r="H13" s="8" t="s">
        <v>17</v>
      </c>
      <c r="I13" s="8" t="s">
        <v>17</v>
      </c>
      <c r="J13" s="8" t="s">
        <v>17</v>
      </c>
      <c r="K13" s="8" t="s">
        <v>17</v>
      </c>
      <c r="L13" s="8" t="s">
        <v>17</v>
      </c>
      <c r="M13" s="8" t="s">
        <v>17</v>
      </c>
    </row>
    <row r="14" customFormat="false" ht="15" hidden="false" customHeight="false" outlineLevel="0" collapsed="false">
      <c r="A14" s="8" t="n">
        <v>10</v>
      </c>
      <c r="B14" s="9" t="n">
        <v>46366</v>
      </c>
      <c r="C14" s="8"/>
      <c r="D14" s="8" t="s">
        <v>15</v>
      </c>
      <c r="E14" s="10" t="str">
        <f aca="false">IF(AND(C14="x",D14="x"),"Vidéo + photo",IF(C14="x","Vidéo",IF(D14="x","Photo","Texte")))</f>
        <v>Photo</v>
      </c>
      <c r="F14" s="11"/>
      <c r="G14" s="8" t="s">
        <v>17</v>
      </c>
      <c r="H14" s="8" t="s">
        <v>17</v>
      </c>
      <c r="I14" s="8" t="s">
        <v>17</v>
      </c>
      <c r="J14" s="8" t="s">
        <v>17</v>
      </c>
      <c r="K14" s="8" t="s">
        <v>17</v>
      </c>
      <c r="L14" s="8" t="s">
        <v>17</v>
      </c>
      <c r="M14" s="8" t="s">
        <v>17</v>
      </c>
    </row>
    <row r="15" customFormat="false" ht="15" hidden="false" customHeight="false" outlineLevel="0" collapsed="false">
      <c r="A15" s="8" t="n">
        <v>11</v>
      </c>
      <c r="B15" s="9" t="n">
        <v>46367</v>
      </c>
      <c r="C15" s="8" t="s">
        <v>15</v>
      </c>
      <c r="D15" s="8"/>
      <c r="E15" s="10" t="str">
        <f aca="false">IF(AND(C15="x",D15="x"),"Vidéo + photo",IF(C15="x","Vidéo",IF(D15="x","Photo","Texte")))</f>
        <v>Vidéo</v>
      </c>
      <c r="F15" s="11"/>
      <c r="G15" s="8" t="s">
        <v>17</v>
      </c>
      <c r="H15" s="8" t="s">
        <v>17</v>
      </c>
      <c r="I15" s="8" t="s">
        <v>17</v>
      </c>
      <c r="J15" s="8" t="s">
        <v>17</v>
      </c>
      <c r="K15" s="8" t="s">
        <v>17</v>
      </c>
      <c r="L15" s="8" t="s">
        <v>17</v>
      </c>
      <c r="M15" s="8" t="s">
        <v>17</v>
      </c>
    </row>
    <row r="16" customFormat="false" ht="15" hidden="false" customHeight="false" outlineLevel="0" collapsed="false">
      <c r="A16" s="8" t="n">
        <v>12</v>
      </c>
      <c r="B16" s="9" t="n">
        <v>46368</v>
      </c>
      <c r="C16" s="8" t="s">
        <v>15</v>
      </c>
      <c r="D16" s="8" t="s">
        <v>15</v>
      </c>
      <c r="E16" s="10" t="str">
        <f aca="false">IF(AND(C16="x",D16="x"),"Vidéo + photo",IF(C16="x","Vidéo",IF(D16="x","Photo","Texte")))</f>
        <v>Vidéo + photo</v>
      </c>
      <c r="F16" s="11"/>
      <c r="G16" s="8" t="s">
        <v>17</v>
      </c>
      <c r="H16" s="8" t="s">
        <v>17</v>
      </c>
      <c r="I16" s="8" t="s">
        <v>17</v>
      </c>
      <c r="J16" s="8" t="s">
        <v>17</v>
      </c>
      <c r="K16" s="8" t="s">
        <v>17</v>
      </c>
      <c r="L16" s="8" t="s">
        <v>17</v>
      </c>
      <c r="M16" s="8" t="s">
        <v>17</v>
      </c>
    </row>
    <row r="17" customFormat="false" ht="15" hidden="false" customHeight="false" outlineLevel="0" collapsed="false">
      <c r="A17" s="8" t="n">
        <v>13</v>
      </c>
      <c r="B17" s="9" t="n">
        <v>46369</v>
      </c>
      <c r="C17" s="8"/>
      <c r="D17" s="8" t="s">
        <v>15</v>
      </c>
      <c r="E17" s="10" t="str">
        <f aca="false">IF(AND(C17="x",D17="x"),"Vidéo + photo",IF(C17="x","Vidéo",IF(D17="x","Photo","Texte")))</f>
        <v>Photo</v>
      </c>
      <c r="F17" s="11"/>
      <c r="G17" s="8" t="s">
        <v>17</v>
      </c>
      <c r="H17" s="8" t="s">
        <v>17</v>
      </c>
      <c r="I17" s="8" t="s">
        <v>17</v>
      </c>
      <c r="J17" s="8" t="s">
        <v>17</v>
      </c>
      <c r="K17" s="8" t="s">
        <v>17</v>
      </c>
      <c r="L17" s="8" t="s">
        <v>17</v>
      </c>
      <c r="M17" s="8" t="s">
        <v>17</v>
      </c>
    </row>
    <row r="18" customFormat="false" ht="15" hidden="false" customHeight="false" outlineLevel="0" collapsed="false">
      <c r="A18" s="8" t="n">
        <v>14</v>
      </c>
      <c r="B18" s="9" t="n">
        <v>46370</v>
      </c>
      <c r="C18" s="8"/>
      <c r="D18" s="8"/>
      <c r="E18" s="10" t="str">
        <f aca="false">IF(AND(C18="x",D18="x"),"Vidéo + photo",IF(C18="x","Vidéo",IF(D18="x","Photo","Texte")))</f>
        <v>Texte</v>
      </c>
      <c r="F18" s="11"/>
      <c r="G18" s="8" t="s">
        <v>17</v>
      </c>
      <c r="H18" s="8" t="s">
        <v>17</v>
      </c>
      <c r="I18" s="8" t="s">
        <v>17</v>
      </c>
      <c r="J18" s="8" t="s">
        <v>17</v>
      </c>
      <c r="K18" s="8" t="s">
        <v>17</v>
      </c>
      <c r="L18" s="8" t="s">
        <v>17</v>
      </c>
      <c r="M18" s="8" t="s">
        <v>17</v>
      </c>
    </row>
    <row r="19" customFormat="false" ht="15" hidden="false" customHeight="false" outlineLevel="0" collapsed="false">
      <c r="A19" s="8" t="n">
        <v>15</v>
      </c>
      <c r="B19" s="9" t="n">
        <v>46371</v>
      </c>
      <c r="C19" s="8"/>
      <c r="D19" s="8" t="s">
        <v>15</v>
      </c>
      <c r="E19" s="10" t="str">
        <f aca="false">IF(AND(C19="x",D19="x"),"Vidéo + photo",IF(C19="x","Vidéo",IF(D19="x","Photo","Texte")))</f>
        <v>Photo</v>
      </c>
      <c r="F19" s="11"/>
      <c r="G19" s="8" t="s">
        <v>17</v>
      </c>
      <c r="H19" s="8" t="s">
        <v>17</v>
      </c>
      <c r="I19" s="8" t="s">
        <v>17</v>
      </c>
      <c r="J19" s="8" t="s">
        <v>17</v>
      </c>
      <c r="K19" s="8" t="s">
        <v>17</v>
      </c>
      <c r="L19" s="8" t="s">
        <v>17</v>
      </c>
      <c r="M19" s="8" t="s">
        <v>17</v>
      </c>
    </row>
    <row r="20" customFormat="false" ht="15" hidden="false" customHeight="false" outlineLevel="0" collapsed="false">
      <c r="A20" s="8" t="n">
        <v>16</v>
      </c>
      <c r="B20" s="9" t="n">
        <v>46372</v>
      </c>
      <c r="C20" s="8" t="s">
        <v>15</v>
      </c>
      <c r="D20" s="8"/>
      <c r="E20" s="10" t="str">
        <f aca="false">IF(AND(C20="x",D20="x"),"Vidéo + photo",IF(C20="x","Vidéo",IF(D20="x","Photo","Texte")))</f>
        <v>Vidéo</v>
      </c>
      <c r="F20" s="11"/>
      <c r="G20" s="8" t="s">
        <v>17</v>
      </c>
      <c r="H20" s="8" t="s">
        <v>17</v>
      </c>
      <c r="I20" s="8" t="s">
        <v>17</v>
      </c>
      <c r="J20" s="8" t="s">
        <v>17</v>
      </c>
      <c r="K20" s="8" t="s">
        <v>17</v>
      </c>
      <c r="L20" s="8" t="s">
        <v>17</v>
      </c>
      <c r="M20" s="8" t="s">
        <v>17</v>
      </c>
    </row>
    <row r="21" customFormat="false" ht="15" hidden="false" customHeight="false" outlineLevel="0" collapsed="false">
      <c r="A21" s="8" t="n">
        <v>17</v>
      </c>
      <c r="B21" s="9" t="n">
        <v>46373</v>
      </c>
      <c r="C21" s="8"/>
      <c r="D21" s="8" t="s">
        <v>15</v>
      </c>
      <c r="E21" s="10" t="str">
        <f aca="false">IF(AND(C21="x",D21="x"),"Vidéo + photo",IF(C21="x","Vidéo",IF(D21="x","Photo","Texte")))</f>
        <v>Photo</v>
      </c>
      <c r="F21" s="11"/>
      <c r="G21" s="8" t="s">
        <v>17</v>
      </c>
      <c r="H21" s="8" t="s">
        <v>17</v>
      </c>
      <c r="I21" s="8" t="s">
        <v>17</v>
      </c>
      <c r="J21" s="8" t="s">
        <v>17</v>
      </c>
      <c r="K21" s="8" t="s">
        <v>17</v>
      </c>
      <c r="L21" s="8" t="s">
        <v>17</v>
      </c>
      <c r="M21" s="8" t="s">
        <v>17</v>
      </c>
    </row>
    <row r="22" customFormat="false" ht="15" hidden="false" customHeight="false" outlineLevel="0" collapsed="false">
      <c r="A22" s="8" t="n">
        <v>18</v>
      </c>
      <c r="B22" s="9" t="n">
        <v>46374</v>
      </c>
      <c r="C22" s="8"/>
      <c r="D22" s="8" t="s">
        <v>15</v>
      </c>
      <c r="E22" s="10" t="str">
        <f aca="false">IF(AND(C22="x",D22="x"),"Vidéo + photo",IF(C22="x","Vidéo",IF(D22="x","Photo","Texte")))</f>
        <v>Photo</v>
      </c>
      <c r="F22" s="11"/>
      <c r="G22" s="8" t="s">
        <v>17</v>
      </c>
      <c r="H22" s="8" t="s">
        <v>17</v>
      </c>
      <c r="I22" s="8" t="s">
        <v>17</v>
      </c>
      <c r="J22" s="8" t="s">
        <v>17</v>
      </c>
      <c r="K22" s="8" t="s">
        <v>17</v>
      </c>
      <c r="L22" s="8" t="s">
        <v>17</v>
      </c>
      <c r="M22" s="8" t="s">
        <v>17</v>
      </c>
    </row>
    <row r="23" customFormat="false" ht="15" hidden="false" customHeight="false" outlineLevel="0" collapsed="false">
      <c r="A23" s="8" t="n">
        <v>19</v>
      </c>
      <c r="B23" s="9" t="n">
        <v>46375</v>
      </c>
      <c r="C23" s="8"/>
      <c r="D23" s="8"/>
      <c r="E23" s="10" t="str">
        <f aca="false">IF(AND(C23="x",D23="x"),"Vidéo + photo",IF(C23="x","Vidéo",IF(D23="x","Photo","Texte")))</f>
        <v>Texte</v>
      </c>
      <c r="F23" s="11"/>
      <c r="G23" s="8" t="s">
        <v>17</v>
      </c>
      <c r="H23" s="8" t="s">
        <v>17</v>
      </c>
      <c r="I23" s="8" t="s">
        <v>17</v>
      </c>
      <c r="J23" s="8" t="s">
        <v>17</v>
      </c>
      <c r="K23" s="8" t="s">
        <v>17</v>
      </c>
      <c r="L23" s="8" t="s">
        <v>17</v>
      </c>
      <c r="M23" s="8" t="s">
        <v>17</v>
      </c>
    </row>
    <row r="24" customFormat="false" ht="15" hidden="false" customHeight="false" outlineLevel="0" collapsed="false">
      <c r="A24" s="8" t="n">
        <v>20</v>
      </c>
      <c r="B24" s="9" t="n">
        <v>46376</v>
      </c>
      <c r="C24" s="8" t="s">
        <v>15</v>
      </c>
      <c r="D24" s="8"/>
      <c r="E24" s="10" t="str">
        <f aca="false">IF(AND(C24="x",D24="x"),"Vidéo + photo",IF(C24="x","Vidéo",IF(D24="x","Photo","Texte")))</f>
        <v>Vidéo</v>
      </c>
      <c r="F24" s="11"/>
      <c r="G24" s="8" t="s">
        <v>17</v>
      </c>
      <c r="H24" s="8" t="s">
        <v>17</v>
      </c>
      <c r="I24" s="8" t="s">
        <v>17</v>
      </c>
      <c r="J24" s="8" t="s">
        <v>17</v>
      </c>
      <c r="K24" s="8" t="s">
        <v>17</v>
      </c>
      <c r="L24" s="8" t="s">
        <v>17</v>
      </c>
      <c r="M24" s="8" t="s">
        <v>17</v>
      </c>
    </row>
    <row r="25" customFormat="false" ht="15" hidden="false" customHeight="false" outlineLevel="0" collapsed="false">
      <c r="A25" s="8" t="n">
        <v>21</v>
      </c>
      <c r="B25" s="9" t="n">
        <v>46377</v>
      </c>
      <c r="C25" s="8"/>
      <c r="D25" s="8" t="s">
        <v>15</v>
      </c>
      <c r="E25" s="10" t="str">
        <f aca="false">IF(AND(C25="x",D25="x"),"Vidéo + photo",IF(C25="x","Vidéo",IF(D25="x","Photo","Texte")))</f>
        <v>Photo</v>
      </c>
      <c r="F25" s="11"/>
      <c r="G25" s="8" t="s">
        <v>17</v>
      </c>
      <c r="H25" s="8" t="s">
        <v>17</v>
      </c>
      <c r="I25" s="8" t="s">
        <v>17</v>
      </c>
      <c r="J25" s="8" t="s">
        <v>17</v>
      </c>
      <c r="K25" s="8" t="s">
        <v>17</v>
      </c>
      <c r="L25" s="8" t="s">
        <v>17</v>
      </c>
      <c r="M25" s="8" t="s">
        <v>17</v>
      </c>
    </row>
    <row r="26" customFormat="false" ht="15" hidden="false" customHeight="false" outlineLevel="0" collapsed="false">
      <c r="A26" s="8" t="n">
        <v>22</v>
      </c>
      <c r="B26" s="9" t="n">
        <v>46378</v>
      </c>
      <c r="C26" s="8"/>
      <c r="D26" s="8"/>
      <c r="E26" s="10" t="str">
        <f aca="false">IF(AND(C26="x",D26="x"),"Vidéo + photo",IF(C26="x","Vidéo",IF(D26="x","Photo","Texte")))</f>
        <v>Texte</v>
      </c>
      <c r="F26" s="11"/>
      <c r="G26" s="8" t="s">
        <v>17</v>
      </c>
      <c r="H26" s="8" t="s">
        <v>17</v>
      </c>
      <c r="I26" s="8" t="s">
        <v>17</v>
      </c>
      <c r="J26" s="8" t="s">
        <v>17</v>
      </c>
      <c r="K26" s="8" t="s">
        <v>17</v>
      </c>
      <c r="L26" s="8" t="s">
        <v>17</v>
      </c>
      <c r="M26" s="8" t="s">
        <v>17</v>
      </c>
    </row>
    <row r="27" customFormat="false" ht="15" hidden="false" customHeight="false" outlineLevel="0" collapsed="false">
      <c r="A27" s="8" t="n">
        <v>23</v>
      </c>
      <c r="B27" s="9" t="n">
        <v>46379</v>
      </c>
      <c r="C27" s="8"/>
      <c r="D27" s="8" t="s">
        <v>15</v>
      </c>
      <c r="E27" s="10" t="str">
        <f aca="false">IF(AND(C27="x",D27="x"),"Vidéo + photo",IF(C27="x","Vidéo",IF(D27="x","Photo","Texte")))</f>
        <v>Photo</v>
      </c>
      <c r="F27" s="11"/>
      <c r="G27" s="8" t="s">
        <v>17</v>
      </c>
      <c r="H27" s="8" t="s">
        <v>17</v>
      </c>
      <c r="I27" s="8" t="s">
        <v>17</v>
      </c>
      <c r="J27" s="8" t="s">
        <v>17</v>
      </c>
      <c r="K27" s="8" t="s">
        <v>17</v>
      </c>
      <c r="L27" s="8" t="s">
        <v>17</v>
      </c>
      <c r="M27" s="8" t="s">
        <v>17</v>
      </c>
    </row>
    <row r="28" customFormat="false" ht="61.5" hidden="false" customHeight="true" outlineLevel="0" collapsed="false">
      <c r="A28" s="4" t="n">
        <v>24</v>
      </c>
      <c r="B28" s="5" t="n">
        <v>46380</v>
      </c>
      <c r="C28" s="4" t="s">
        <v>15</v>
      </c>
      <c r="D28" s="4" t="s">
        <v>15</v>
      </c>
      <c r="E28" s="6" t="str">
        <f aca="false">IF(AND(C28="x",D28="x"),"Vidéo + photo",IF(C28="x","Vidéo",IF(D28="x","Photo","Texte")))</f>
        <v>Vidéo + photo</v>
      </c>
      <c r="F28" s="7" t="s">
        <v>18</v>
      </c>
      <c r="G28" s="4" t="s">
        <v>17</v>
      </c>
      <c r="H28" s="4" t="s">
        <v>17</v>
      </c>
      <c r="I28" s="4" t="s">
        <v>17</v>
      </c>
      <c r="J28" s="4" t="s">
        <v>17</v>
      </c>
      <c r="K28" s="4" t="s">
        <v>17</v>
      </c>
      <c r="L28" s="4" t="s">
        <v>17</v>
      </c>
      <c r="M28" s="4" t="s">
        <v>17</v>
      </c>
    </row>
    <row r="30" customFormat="false" ht="15" hidden="false" customHeight="false" outlineLevel="0" collapsed="false">
      <c r="F30" s="12" t="s">
        <v>19</v>
      </c>
      <c r="G30" s="13" t="n">
        <f aca="false">COUNTIF(G5:G28,"Publié")</f>
        <v>0</v>
      </c>
      <c r="H30" s="13" t="n">
        <f aca="false">COUNTIF(H5:H28,"Publié")</f>
        <v>0</v>
      </c>
      <c r="I30" s="13" t="n">
        <f aca="false">COUNTIF(I5:I28,"Publié")</f>
        <v>0</v>
      </c>
      <c r="J30" s="13" t="n">
        <f aca="false">COUNTIF(J5:J28,"Publié")</f>
        <v>0</v>
      </c>
      <c r="K30" s="13" t="n">
        <f aca="false">COUNTIF(K5:K28,"Publié")</f>
        <v>0</v>
      </c>
      <c r="L30" s="13" t="n">
        <f aca="false">COUNTIF(L5:L28,"Publié")</f>
        <v>0</v>
      </c>
      <c r="M30" s="13" t="n">
        <f aca="false">COUNTIF(M5:M28,"Publié")</f>
        <v>0</v>
      </c>
    </row>
    <row r="31" customFormat="false" ht="15" hidden="false" customHeight="false" outlineLevel="0" collapsed="false">
      <c r="F31" s="12" t="s">
        <v>20</v>
      </c>
      <c r="G31" s="13" t="n">
        <f aca="false">COUNTIF(G5:G28,"Publié")+COUNTIF(G5:G28,"Prêt")</f>
        <v>0</v>
      </c>
      <c r="H31" s="13" t="n">
        <f aca="false">COUNTIF(H5:H28,"Publié")+COUNTIF(H5:H28,"Prêt")</f>
        <v>0</v>
      </c>
      <c r="I31" s="13" t="n">
        <f aca="false">COUNTIF(I5:I28,"Publié")+COUNTIF(I5:I28,"Prêt")</f>
        <v>0</v>
      </c>
      <c r="J31" s="13" t="n">
        <f aca="false">COUNTIF(J5:J28,"Publié")+COUNTIF(J5:J28,"Prêt")</f>
        <v>0</v>
      </c>
      <c r="K31" s="13" t="n">
        <f aca="false">COUNTIF(K5:K28,"Publié")+COUNTIF(K5:K28,"Prêt")</f>
        <v>0</v>
      </c>
      <c r="L31" s="13" t="n">
        <f aca="false">COUNTIF(L5:L28,"Publié")+COUNTIF(L5:L28,"Prêt")</f>
        <v>0</v>
      </c>
      <c r="M31" s="13" t="n">
        <f aca="false">COUNTIF(M5:M28,"Publié")+COUNTIF(M5:M28,"Prêt")</f>
        <v>0</v>
      </c>
    </row>
  </sheetData>
  <mergeCells count="1">
    <mergeCell ref="A2:M2"/>
  </mergeCells>
  <conditionalFormatting sqref="G5:M28">
    <cfRule type="cellIs" priority="2" operator="equal" aboveAverage="0" equalAverage="0" bottom="0" percent="0" rank="0" text="" dxfId="0">
      <formula>"À faire"</formula>
    </cfRule>
    <cfRule type="cellIs" priority="3" operator="equal" aboveAverage="0" equalAverage="0" bottom="0" percent="0" rank="0" text="" dxfId="1">
      <formula>"En cours"</formula>
    </cfRule>
    <cfRule type="cellIs" priority="4" operator="equal" aboveAverage="0" equalAverage="0" bottom="0" percent="0" rank="0" text="" dxfId="2">
      <formula>"Prêt"</formula>
    </cfRule>
    <cfRule type="cellIs" priority="5" operator="equal" aboveAverage="0" equalAverage="0" bottom="0" percent="0" rank="0" text="" dxfId="3">
      <formula>"Publié"</formula>
    </cfRule>
  </conditionalFormatting>
  <conditionalFormatting sqref="A5:F28">
    <cfRule type="expression" priority="6" aboveAverage="0" equalAverage="0" bottom="0" percent="0" rank="0" text="" dxfId="4">
      <formula>$E5="Texte"</formula>
    </cfRule>
  </conditionalFormatting>
  <dataValidations count="1">
    <dataValidation allowBlank="false" errorStyle="stop" operator="between" showDropDown="false" showErrorMessage="false" showInputMessage="false" sqref="G5:M28" type="list">
      <formula1>"À faire,En cours,Prêt,Publié"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6"/>
  </cols>
  <sheetData>
    <row r="1" customFormat="false" ht="19.7" hidden="false" customHeight="false" outlineLevel="0" collapsed="false">
      <c r="A1" s="1" t="s">
        <v>21</v>
      </c>
    </row>
    <row r="3" customFormat="false" ht="15" hidden="false" customHeight="false" outlineLevel="0" collapsed="false">
      <c r="A3" s="14" t="s">
        <v>22</v>
      </c>
      <c r="B3" s="14" t="s">
        <v>17</v>
      </c>
      <c r="C3" s="14" t="s">
        <v>23</v>
      </c>
      <c r="D3" s="14" t="s">
        <v>24</v>
      </c>
      <c r="E3" s="14" t="s">
        <v>25</v>
      </c>
      <c r="F3" s="14" t="s">
        <v>26</v>
      </c>
    </row>
    <row r="4" customFormat="false" ht="15" hidden="false" customHeight="false" outlineLevel="0" collapsed="false">
      <c r="A4" s="15" t="s">
        <v>8</v>
      </c>
      <c r="B4" s="16" t="n">
        <f aca="false">COUNTIF(Suivi!G5:G28,"À faire")</f>
        <v>24</v>
      </c>
      <c r="C4" s="16" t="n">
        <f aca="false">COUNTIF(Suivi!G5:G28,"En cours")</f>
        <v>0</v>
      </c>
      <c r="D4" s="16" t="n">
        <f aca="false">COUNTIF(Suivi!G5:G28,"Prêt")</f>
        <v>0</v>
      </c>
      <c r="E4" s="16" t="n">
        <f aca="false">COUNTIF(Suivi!G5:G28,"Publié")</f>
        <v>0</v>
      </c>
      <c r="F4" s="17" t="n">
        <f aca="false">(D4+E4)/SUM(B4:E4)</f>
        <v>0</v>
      </c>
    </row>
    <row r="5" customFormat="false" ht="15" hidden="false" customHeight="false" outlineLevel="0" collapsed="false">
      <c r="A5" s="15" t="s">
        <v>9</v>
      </c>
      <c r="B5" s="16" t="n">
        <f aca="false">COUNTIF(Suivi!H5:H28,"À faire")</f>
        <v>24</v>
      </c>
      <c r="C5" s="16" t="n">
        <f aca="false">COUNTIF(Suivi!H5:H28,"En cours")</f>
        <v>0</v>
      </c>
      <c r="D5" s="16" t="n">
        <f aca="false">COUNTIF(Suivi!H5:H28,"Prêt")</f>
        <v>0</v>
      </c>
      <c r="E5" s="16" t="n">
        <f aca="false">COUNTIF(Suivi!H5:H28,"Publié")</f>
        <v>0</v>
      </c>
      <c r="F5" s="17" t="n">
        <f aca="false">(D5+E5)/SUM(B5:E5)</f>
        <v>0</v>
      </c>
    </row>
    <row r="6" customFormat="false" ht="15" hidden="false" customHeight="false" outlineLevel="0" collapsed="false">
      <c r="A6" s="15" t="s">
        <v>10</v>
      </c>
      <c r="B6" s="16" t="n">
        <f aca="false">COUNTIF(Suivi!I5:I28,"À faire")</f>
        <v>24</v>
      </c>
      <c r="C6" s="16" t="n">
        <f aca="false">COUNTIF(Suivi!I5:I28,"En cours")</f>
        <v>0</v>
      </c>
      <c r="D6" s="16" t="n">
        <f aca="false">COUNTIF(Suivi!I5:I28,"Prêt")</f>
        <v>0</v>
      </c>
      <c r="E6" s="16" t="n">
        <f aca="false">COUNTIF(Suivi!I5:I28,"Publié")</f>
        <v>0</v>
      </c>
      <c r="F6" s="17" t="n">
        <f aca="false">(D6+E6)/SUM(B6:E6)</f>
        <v>0</v>
      </c>
    </row>
    <row r="7" customFormat="false" ht="15" hidden="false" customHeight="false" outlineLevel="0" collapsed="false">
      <c r="A7" s="15" t="s">
        <v>11</v>
      </c>
      <c r="B7" s="16" t="n">
        <f aca="false">COUNTIF(Suivi!J5:J28,"À faire")</f>
        <v>24</v>
      </c>
      <c r="C7" s="16" t="n">
        <f aca="false">COUNTIF(Suivi!J5:J28,"En cours")</f>
        <v>0</v>
      </c>
      <c r="D7" s="16" t="n">
        <f aca="false">COUNTIF(Suivi!J5:J28,"Prêt")</f>
        <v>0</v>
      </c>
      <c r="E7" s="16" t="n">
        <f aca="false">COUNTIF(Suivi!J5:J28,"Publié")</f>
        <v>0</v>
      </c>
      <c r="F7" s="17" t="n">
        <f aca="false">(D7+E7)/SUM(B7:E7)</f>
        <v>0</v>
      </c>
    </row>
    <row r="8" customFormat="false" ht="15" hidden="false" customHeight="false" outlineLevel="0" collapsed="false">
      <c r="A8" s="15" t="s">
        <v>12</v>
      </c>
      <c r="B8" s="16" t="n">
        <f aca="false">COUNTIF(Suivi!K5:K28,"À faire")</f>
        <v>24</v>
      </c>
      <c r="C8" s="16" t="n">
        <f aca="false">COUNTIF(Suivi!K5:K28,"En cours")</f>
        <v>0</v>
      </c>
      <c r="D8" s="16" t="n">
        <f aca="false">COUNTIF(Suivi!K5:K28,"Prêt")</f>
        <v>0</v>
      </c>
      <c r="E8" s="16" t="n">
        <f aca="false">COUNTIF(Suivi!K5:K28,"Publié")</f>
        <v>0</v>
      </c>
      <c r="F8" s="17" t="n">
        <f aca="false">(D8+E8)/SUM(B8:E8)</f>
        <v>0</v>
      </c>
    </row>
    <row r="9" customFormat="false" ht="15" hidden="false" customHeight="false" outlineLevel="0" collapsed="false">
      <c r="A9" s="15" t="s">
        <v>13</v>
      </c>
      <c r="B9" s="16" t="n">
        <f aca="false">COUNTIF(Suivi!L5:L28,"À faire")</f>
        <v>24</v>
      </c>
      <c r="C9" s="16" t="n">
        <f aca="false">COUNTIF(Suivi!L5:L28,"En cours")</f>
        <v>0</v>
      </c>
      <c r="D9" s="16" t="n">
        <f aca="false">COUNTIF(Suivi!L5:L28,"Prêt")</f>
        <v>0</v>
      </c>
      <c r="E9" s="16" t="n">
        <f aca="false">COUNTIF(Suivi!L5:L28,"Publié")</f>
        <v>0</v>
      </c>
      <c r="F9" s="17" t="n">
        <f aca="false">(D9+E9)/SUM(B9:E9)</f>
        <v>0</v>
      </c>
    </row>
    <row r="10" customFormat="false" ht="15" hidden="false" customHeight="false" outlineLevel="0" collapsed="false">
      <c r="A10" s="15" t="s">
        <v>14</v>
      </c>
      <c r="B10" s="16" t="n">
        <f aca="false">COUNTIF(Suivi!M5:M28,"À faire")</f>
        <v>24</v>
      </c>
      <c r="C10" s="16" t="n">
        <f aca="false">COUNTIF(Suivi!M5:M28,"En cours")</f>
        <v>0</v>
      </c>
      <c r="D10" s="16" t="n">
        <f aca="false">COUNTIF(Suivi!M5:M28,"Prêt")</f>
        <v>0</v>
      </c>
      <c r="E10" s="16" t="n">
        <f aca="false">COUNTIF(Suivi!M5:M28,"Publié")</f>
        <v>0</v>
      </c>
      <c r="F10" s="17" t="n">
        <f aca="false">(D10+E10)/SUM(B10:E10)</f>
        <v>0</v>
      </c>
    </row>
    <row r="11" customFormat="false" ht="15" hidden="false" customHeight="false" outlineLevel="0" collapsed="false">
      <c r="A11" s="18" t="s">
        <v>27</v>
      </c>
      <c r="B11" s="19" t="n">
        <f aca="false">SUM(B4:B10)</f>
        <v>168</v>
      </c>
      <c r="C11" s="19" t="n">
        <f aca="false">SUM(C4:C10)</f>
        <v>0</v>
      </c>
      <c r="D11" s="19" t="n">
        <f aca="false">SUM(D4:D10)</f>
        <v>0</v>
      </c>
      <c r="E11" s="19" t="n">
        <f aca="false">SUM(E4:E10)</f>
        <v>0</v>
      </c>
      <c r="F11" s="20" t="n">
        <f aca="false">(D11+E11)/SUM(B11:E11)</f>
        <v>0</v>
      </c>
    </row>
    <row r="13" customFormat="false" ht="15" hidden="false" customHeight="false" outlineLevel="0" collapsed="false">
      <c r="A13" s="21" t="s">
        <v>28</v>
      </c>
    </row>
    <row r="14" customFormat="false" ht="15" hidden="false" customHeight="false" outlineLevel="0" collapsed="false">
      <c r="A14" s="22" t="s">
        <v>29</v>
      </c>
      <c r="B14" s="23" t="n">
        <f aca="false">COUNTIF(Suivi!C5:C28,"x")</f>
        <v>8</v>
      </c>
    </row>
    <row r="15" customFormat="false" ht="15" hidden="false" customHeight="false" outlineLevel="0" collapsed="false">
      <c r="A15" s="22" t="s">
        <v>30</v>
      </c>
      <c r="B15" s="23" t="n">
        <f aca="false">COUNTIF(Suivi!D5:D28,"x")</f>
        <v>16</v>
      </c>
    </row>
    <row r="16" customFormat="false" ht="15" hidden="false" customHeight="false" outlineLevel="0" collapsed="false">
      <c r="A16" s="22" t="s">
        <v>31</v>
      </c>
      <c r="B16" s="23" t="n">
        <f aca="false">COUNTIF(Suivi!E5:E28,"Vidéo + photo")</f>
        <v>4</v>
      </c>
    </row>
    <row r="17" customFormat="false" ht="15" hidden="false" customHeight="false" outlineLevel="0" collapsed="false">
      <c r="A17" s="22" t="s">
        <v>32</v>
      </c>
      <c r="B17" s="23" t="n">
        <f aca="false">COUNTIF(Suivi!E5:E28,"Texte")</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9"/>
    <col collapsed="false" customWidth="true" hidden="false" outlineLevel="0" max="4" min="4" style="0" width="95"/>
    <col collapsed="false" customWidth="true" hidden="false" outlineLevel="0" max="5" min="5" style="0" width="11"/>
  </cols>
  <sheetData>
    <row r="1" customFormat="false" ht="19.7" hidden="false" customHeight="false" outlineLevel="0" collapsed="false">
      <c r="A1" s="1" t="s">
        <v>33</v>
      </c>
    </row>
    <row r="2" customFormat="false" ht="30" hidden="false" customHeight="true" outlineLevel="0" collapsed="false">
      <c r="A2" s="2" t="s">
        <v>34</v>
      </c>
      <c r="B2" s="2"/>
      <c r="C2" s="2"/>
      <c r="D2" s="2"/>
      <c r="E2" s="2"/>
      <c r="F2" s="2"/>
      <c r="G2" s="2"/>
      <c r="H2" s="2"/>
    </row>
    <row r="4" customFormat="false" ht="15" hidden="false" customHeight="false" outlineLevel="0" collapsed="false">
      <c r="A4" s="14" t="s">
        <v>22</v>
      </c>
      <c r="B4" s="14" t="s">
        <v>2</v>
      </c>
      <c r="C4" s="14" t="s">
        <v>3</v>
      </c>
      <c r="D4" s="14" t="s">
        <v>35</v>
      </c>
      <c r="E4" s="14" t="s">
        <v>36</v>
      </c>
    </row>
    <row r="5" customFormat="false" ht="57.75" hidden="false" customHeight="true" outlineLevel="0" collapsed="false">
      <c r="A5" s="24" t="s">
        <v>8</v>
      </c>
      <c r="B5" s="4" t="n">
        <v>8</v>
      </c>
      <c r="C5" s="25" t="n">
        <v>46364</v>
      </c>
      <c r="D5" s="7" t="s">
        <v>37</v>
      </c>
      <c r="E5" s="4" t="n">
        <f aca="false">LEN(D5)</f>
        <v>217</v>
      </c>
    </row>
    <row r="6" customFormat="false" ht="57.75" hidden="false" customHeight="true" outlineLevel="0" collapsed="false">
      <c r="A6" s="24" t="s">
        <v>8</v>
      </c>
      <c r="B6" s="4" t="n">
        <v>14</v>
      </c>
      <c r="C6" s="25" t="n">
        <v>46370</v>
      </c>
      <c r="D6" s="7" t="s">
        <v>38</v>
      </c>
      <c r="E6" s="4" t="n">
        <f aca="false">LEN(D6)</f>
        <v>197</v>
      </c>
    </row>
    <row r="7" customFormat="false" ht="57.75" hidden="false" customHeight="true" outlineLevel="0" collapsed="false">
      <c r="A7" s="24" t="s">
        <v>8</v>
      </c>
      <c r="B7" s="4" t="n">
        <v>19</v>
      </c>
      <c r="C7" s="25" t="n">
        <v>46375</v>
      </c>
      <c r="D7" s="7" t="s">
        <v>39</v>
      </c>
      <c r="E7" s="4" t="n">
        <f aca="false">LEN(D7)</f>
        <v>177</v>
      </c>
    </row>
    <row r="8" customFormat="false" ht="57.75" hidden="false" customHeight="true" outlineLevel="0" collapsed="false">
      <c r="A8" s="24" t="s">
        <v>8</v>
      </c>
      <c r="B8" s="4" t="n">
        <v>22</v>
      </c>
      <c r="C8" s="25" t="n">
        <v>46378</v>
      </c>
      <c r="D8" s="7" t="s">
        <v>40</v>
      </c>
      <c r="E8" s="4" t="n">
        <f aca="false">LEN(D8)</f>
        <v>202</v>
      </c>
    </row>
    <row r="9" customFormat="false" ht="57.75" hidden="false" customHeight="true" outlineLevel="0" collapsed="false">
      <c r="A9" s="24" t="s">
        <v>8</v>
      </c>
      <c r="B9" s="4" t="n">
        <v>24</v>
      </c>
      <c r="C9" s="25" t="n">
        <v>46380</v>
      </c>
      <c r="D9" s="7" t="s">
        <v>41</v>
      </c>
      <c r="E9" s="4" t="n">
        <f aca="false">LEN(D9)</f>
        <v>239</v>
      </c>
    </row>
    <row r="10" customFormat="false" ht="57.75" hidden="false" customHeight="true" outlineLevel="0" collapsed="false">
      <c r="A10" s="24" t="s">
        <v>9</v>
      </c>
      <c r="B10" s="4" t="n">
        <v>8</v>
      </c>
      <c r="C10" s="25" t="n">
        <v>46364</v>
      </c>
      <c r="D10" s="7" t="s">
        <v>42</v>
      </c>
      <c r="E10" s="4" t="n">
        <f aca="false">LEN(D10)</f>
        <v>210</v>
      </c>
    </row>
    <row r="11" customFormat="false" ht="57.75" hidden="false" customHeight="true" outlineLevel="0" collapsed="false">
      <c r="A11" s="24" t="s">
        <v>9</v>
      </c>
      <c r="B11" s="4" t="n">
        <v>14</v>
      </c>
      <c r="C11" s="25" t="n">
        <v>46370</v>
      </c>
      <c r="D11" s="7" t="s">
        <v>43</v>
      </c>
      <c r="E11" s="4" t="n">
        <f aca="false">LEN(D11)</f>
        <v>180</v>
      </c>
    </row>
    <row r="12" customFormat="false" ht="57.75" hidden="false" customHeight="true" outlineLevel="0" collapsed="false">
      <c r="A12" s="24" t="s">
        <v>9</v>
      </c>
      <c r="B12" s="4" t="n">
        <v>19</v>
      </c>
      <c r="C12" s="25" t="n">
        <v>46375</v>
      </c>
      <c r="D12" s="7" t="s">
        <v>44</v>
      </c>
      <c r="E12" s="4" t="n">
        <f aca="false">LEN(D12)</f>
        <v>197</v>
      </c>
    </row>
    <row r="13" customFormat="false" ht="57.75" hidden="false" customHeight="true" outlineLevel="0" collapsed="false">
      <c r="A13" s="24" t="s">
        <v>9</v>
      </c>
      <c r="B13" s="4" t="n">
        <v>22</v>
      </c>
      <c r="C13" s="25" t="n">
        <v>46378</v>
      </c>
      <c r="D13" s="7" t="s">
        <v>45</v>
      </c>
      <c r="E13" s="4" t="n">
        <f aca="false">LEN(D13)</f>
        <v>205</v>
      </c>
    </row>
    <row r="14" customFormat="false" ht="57.75" hidden="false" customHeight="true" outlineLevel="0" collapsed="false">
      <c r="A14" s="24" t="s">
        <v>9</v>
      </c>
      <c r="B14" s="4" t="n">
        <v>24</v>
      </c>
      <c r="C14" s="25" t="n">
        <v>46380</v>
      </c>
      <c r="D14" s="7" t="s">
        <v>46</v>
      </c>
      <c r="E14" s="4" t="n">
        <f aca="false">LEN(D14)</f>
        <v>228</v>
      </c>
    </row>
    <row r="15" customFormat="false" ht="57.75" hidden="false" customHeight="true" outlineLevel="0" collapsed="false">
      <c r="A15" s="24" t="s">
        <v>10</v>
      </c>
      <c r="B15" s="4" t="n">
        <v>8</v>
      </c>
      <c r="C15" s="25" t="n">
        <v>46364</v>
      </c>
      <c r="D15" s="7" t="s">
        <v>47</v>
      </c>
      <c r="E15" s="4" t="n">
        <f aca="false">LEN(D15)</f>
        <v>208</v>
      </c>
    </row>
    <row r="16" customFormat="false" ht="57.75" hidden="false" customHeight="true" outlineLevel="0" collapsed="false">
      <c r="A16" s="24" t="s">
        <v>10</v>
      </c>
      <c r="B16" s="4" t="n">
        <v>14</v>
      </c>
      <c r="C16" s="25" t="n">
        <v>46370</v>
      </c>
      <c r="D16" s="7" t="s">
        <v>48</v>
      </c>
      <c r="E16" s="4" t="n">
        <f aca="false">LEN(D16)</f>
        <v>188</v>
      </c>
    </row>
    <row r="17" customFormat="false" ht="57.75" hidden="false" customHeight="true" outlineLevel="0" collapsed="false">
      <c r="A17" s="24" t="s">
        <v>10</v>
      </c>
      <c r="B17" s="4" t="n">
        <v>19</v>
      </c>
      <c r="C17" s="25" t="n">
        <v>46375</v>
      </c>
      <c r="D17" s="7" t="s">
        <v>49</v>
      </c>
      <c r="E17" s="4" t="n">
        <f aca="false">LEN(D17)</f>
        <v>203</v>
      </c>
    </row>
    <row r="18" customFormat="false" ht="57.75" hidden="false" customHeight="true" outlineLevel="0" collapsed="false">
      <c r="A18" s="24" t="s">
        <v>10</v>
      </c>
      <c r="B18" s="4" t="n">
        <v>22</v>
      </c>
      <c r="C18" s="25" t="n">
        <v>46378</v>
      </c>
      <c r="D18" s="7" t="s">
        <v>50</v>
      </c>
      <c r="E18" s="4" t="n">
        <f aca="false">LEN(D18)</f>
        <v>199</v>
      </c>
    </row>
    <row r="19" customFormat="false" ht="57.75" hidden="false" customHeight="true" outlineLevel="0" collapsed="false">
      <c r="A19" s="24" t="s">
        <v>10</v>
      </c>
      <c r="B19" s="4" t="n">
        <v>24</v>
      </c>
      <c r="C19" s="25" t="n">
        <v>46380</v>
      </c>
      <c r="D19" s="7" t="s">
        <v>51</v>
      </c>
      <c r="E19" s="4" t="n">
        <f aca="false">LEN(D19)</f>
        <v>234</v>
      </c>
    </row>
    <row r="20" customFormat="false" ht="57.75" hidden="false" customHeight="true" outlineLevel="0" collapsed="false">
      <c r="A20" s="24" t="s">
        <v>11</v>
      </c>
      <c r="B20" s="4" t="n">
        <v>8</v>
      </c>
      <c r="C20" s="25" t="n">
        <v>46364</v>
      </c>
      <c r="D20" s="7" t="s">
        <v>52</v>
      </c>
      <c r="E20" s="4" t="n">
        <f aca="false">LEN(D20)</f>
        <v>196</v>
      </c>
    </row>
    <row r="21" customFormat="false" ht="57.75" hidden="false" customHeight="true" outlineLevel="0" collapsed="false">
      <c r="A21" s="24" t="s">
        <v>11</v>
      </c>
      <c r="B21" s="4" t="n">
        <v>14</v>
      </c>
      <c r="C21" s="25" t="n">
        <v>46370</v>
      </c>
      <c r="D21" s="7" t="s">
        <v>53</v>
      </c>
      <c r="E21" s="4" t="n">
        <f aca="false">LEN(D21)</f>
        <v>175</v>
      </c>
    </row>
    <row r="22" customFormat="false" ht="57.75" hidden="false" customHeight="true" outlineLevel="0" collapsed="false">
      <c r="A22" s="24" t="s">
        <v>11</v>
      </c>
      <c r="B22" s="4" t="n">
        <v>19</v>
      </c>
      <c r="C22" s="25" t="n">
        <v>46375</v>
      </c>
      <c r="D22" s="7" t="s">
        <v>54</v>
      </c>
      <c r="E22" s="4" t="n">
        <f aca="false">LEN(D22)</f>
        <v>196</v>
      </c>
    </row>
    <row r="23" customFormat="false" ht="57.75" hidden="false" customHeight="true" outlineLevel="0" collapsed="false">
      <c r="A23" s="24" t="s">
        <v>11</v>
      </c>
      <c r="B23" s="4" t="n">
        <v>22</v>
      </c>
      <c r="C23" s="25" t="n">
        <v>46378</v>
      </c>
      <c r="D23" s="7" t="s">
        <v>55</v>
      </c>
      <c r="E23" s="4" t="n">
        <f aca="false">LEN(D23)</f>
        <v>169</v>
      </c>
    </row>
    <row r="24" customFormat="false" ht="57.75" hidden="false" customHeight="true" outlineLevel="0" collapsed="false">
      <c r="A24" s="24" t="s">
        <v>11</v>
      </c>
      <c r="B24" s="4" t="n">
        <v>24</v>
      </c>
      <c r="C24" s="25" t="n">
        <v>46380</v>
      </c>
      <c r="D24" s="7" t="s">
        <v>56</v>
      </c>
      <c r="E24" s="4" t="n">
        <f aca="false">LEN(D24)</f>
        <v>220</v>
      </c>
    </row>
    <row r="25" customFormat="false" ht="57.75" hidden="false" customHeight="true" outlineLevel="0" collapsed="false">
      <c r="A25" s="24" t="s">
        <v>12</v>
      </c>
      <c r="B25" s="4" t="n">
        <v>8</v>
      </c>
      <c r="C25" s="25" t="n">
        <v>46364</v>
      </c>
      <c r="D25" s="7" t="s">
        <v>57</v>
      </c>
      <c r="E25" s="4" t="n">
        <f aca="false">LEN(D25)</f>
        <v>190</v>
      </c>
    </row>
    <row r="26" customFormat="false" ht="57.75" hidden="false" customHeight="true" outlineLevel="0" collapsed="false">
      <c r="A26" s="24" t="s">
        <v>12</v>
      </c>
      <c r="B26" s="4" t="n">
        <v>14</v>
      </c>
      <c r="C26" s="25" t="n">
        <v>46370</v>
      </c>
      <c r="D26" s="7" t="s">
        <v>58</v>
      </c>
      <c r="E26" s="4" t="n">
        <f aca="false">LEN(D26)</f>
        <v>162</v>
      </c>
    </row>
    <row r="27" customFormat="false" ht="57.75" hidden="false" customHeight="true" outlineLevel="0" collapsed="false">
      <c r="A27" s="24" t="s">
        <v>12</v>
      </c>
      <c r="B27" s="4" t="n">
        <v>19</v>
      </c>
      <c r="C27" s="25" t="n">
        <v>46375</v>
      </c>
      <c r="D27" s="7" t="s">
        <v>59</v>
      </c>
      <c r="E27" s="4" t="n">
        <f aca="false">LEN(D27)</f>
        <v>194</v>
      </c>
    </row>
    <row r="28" customFormat="false" ht="57.75" hidden="false" customHeight="true" outlineLevel="0" collapsed="false">
      <c r="A28" s="24" t="s">
        <v>12</v>
      </c>
      <c r="B28" s="4" t="n">
        <v>22</v>
      </c>
      <c r="C28" s="25" t="n">
        <v>46378</v>
      </c>
      <c r="D28" s="7" t="s">
        <v>60</v>
      </c>
      <c r="E28" s="4" t="n">
        <f aca="false">LEN(D28)</f>
        <v>181</v>
      </c>
    </row>
    <row r="29" customFormat="false" ht="57.75" hidden="false" customHeight="true" outlineLevel="0" collapsed="false">
      <c r="A29" s="24" t="s">
        <v>12</v>
      </c>
      <c r="B29" s="4" t="n">
        <v>24</v>
      </c>
      <c r="C29" s="25" t="n">
        <v>46380</v>
      </c>
      <c r="D29" s="7" t="s">
        <v>61</v>
      </c>
      <c r="E29" s="4" t="n">
        <f aca="false">LEN(D29)</f>
        <v>230</v>
      </c>
    </row>
    <row r="30" customFormat="false" ht="57.75" hidden="false" customHeight="true" outlineLevel="0" collapsed="false">
      <c r="A30" s="24" t="s">
        <v>13</v>
      </c>
      <c r="B30" s="4" t="n">
        <v>8</v>
      </c>
      <c r="C30" s="25" t="n">
        <v>46364</v>
      </c>
      <c r="D30" s="7" t="s">
        <v>62</v>
      </c>
      <c r="E30" s="4" t="n">
        <f aca="false">LEN(D30)</f>
        <v>199</v>
      </c>
    </row>
    <row r="31" customFormat="false" ht="57.75" hidden="false" customHeight="true" outlineLevel="0" collapsed="false">
      <c r="A31" s="24" t="s">
        <v>13</v>
      </c>
      <c r="B31" s="4" t="n">
        <v>14</v>
      </c>
      <c r="C31" s="25" t="n">
        <v>46370</v>
      </c>
      <c r="D31" s="7" t="s">
        <v>63</v>
      </c>
      <c r="E31" s="4" t="n">
        <f aca="false">LEN(D31)</f>
        <v>180</v>
      </c>
    </row>
    <row r="32" customFormat="false" ht="57.75" hidden="false" customHeight="true" outlineLevel="0" collapsed="false">
      <c r="A32" s="24" t="s">
        <v>13</v>
      </c>
      <c r="B32" s="4" t="n">
        <v>19</v>
      </c>
      <c r="C32" s="25" t="n">
        <v>46375</v>
      </c>
      <c r="D32" s="7" t="s">
        <v>64</v>
      </c>
      <c r="E32" s="4" t="n">
        <f aca="false">LEN(D32)</f>
        <v>185</v>
      </c>
    </row>
    <row r="33" customFormat="false" ht="57.75" hidden="false" customHeight="true" outlineLevel="0" collapsed="false">
      <c r="A33" s="24" t="s">
        <v>13</v>
      </c>
      <c r="B33" s="4" t="n">
        <v>22</v>
      </c>
      <c r="C33" s="25" t="n">
        <v>46378</v>
      </c>
      <c r="D33" s="7" t="s">
        <v>65</v>
      </c>
      <c r="E33" s="4" t="n">
        <f aca="false">LEN(D33)</f>
        <v>193</v>
      </c>
    </row>
    <row r="34" customFormat="false" ht="57.75" hidden="false" customHeight="true" outlineLevel="0" collapsed="false">
      <c r="A34" s="24" t="s">
        <v>13</v>
      </c>
      <c r="B34" s="4" t="n">
        <v>24</v>
      </c>
      <c r="C34" s="25" t="n">
        <v>46380</v>
      </c>
      <c r="D34" s="7" t="s">
        <v>66</v>
      </c>
      <c r="E34" s="4" t="n">
        <f aca="false">LEN(D34)</f>
        <v>220</v>
      </c>
    </row>
    <row r="35" customFormat="false" ht="57.75" hidden="false" customHeight="true" outlineLevel="0" collapsed="false">
      <c r="A35" s="24" t="s">
        <v>14</v>
      </c>
      <c r="B35" s="4" t="n">
        <v>8</v>
      </c>
      <c r="C35" s="25" t="n">
        <v>46364</v>
      </c>
      <c r="D35" s="7" t="s">
        <v>67</v>
      </c>
      <c r="E35" s="4" t="n">
        <f aca="false">LEN(D35)</f>
        <v>198</v>
      </c>
    </row>
    <row r="36" customFormat="false" ht="57.75" hidden="false" customHeight="true" outlineLevel="0" collapsed="false">
      <c r="A36" s="24" t="s">
        <v>14</v>
      </c>
      <c r="B36" s="4" t="n">
        <v>14</v>
      </c>
      <c r="C36" s="25" t="n">
        <v>46370</v>
      </c>
      <c r="D36" s="7" t="s">
        <v>68</v>
      </c>
      <c r="E36" s="4" t="n">
        <f aca="false">LEN(D36)</f>
        <v>193</v>
      </c>
    </row>
    <row r="37" customFormat="false" ht="57.75" hidden="false" customHeight="true" outlineLevel="0" collapsed="false">
      <c r="A37" s="24" t="s">
        <v>14</v>
      </c>
      <c r="B37" s="4" t="n">
        <v>19</v>
      </c>
      <c r="C37" s="25" t="n">
        <v>46375</v>
      </c>
      <c r="D37" s="7" t="s">
        <v>69</v>
      </c>
      <c r="E37" s="4" t="n">
        <f aca="false">LEN(D37)</f>
        <v>188</v>
      </c>
    </row>
    <row r="38" customFormat="false" ht="57.75" hidden="false" customHeight="true" outlineLevel="0" collapsed="false">
      <c r="A38" s="24" t="s">
        <v>14</v>
      </c>
      <c r="B38" s="4" t="n">
        <v>22</v>
      </c>
      <c r="C38" s="25" t="n">
        <v>46378</v>
      </c>
      <c r="D38" s="7" t="s">
        <v>70</v>
      </c>
      <c r="E38" s="4" t="n">
        <f aca="false">LEN(D38)</f>
        <v>205</v>
      </c>
    </row>
    <row r="39" customFormat="false" ht="57.75" hidden="false" customHeight="true" outlineLevel="0" collapsed="false">
      <c r="A39" s="24" t="s">
        <v>14</v>
      </c>
      <c r="B39" s="4" t="n">
        <v>24</v>
      </c>
      <c r="C39" s="25" t="n">
        <v>46380</v>
      </c>
      <c r="D39" s="7" t="s">
        <v>71</v>
      </c>
      <c r="E39" s="4" t="n">
        <f aca="false">LEN(D39)</f>
        <v>230</v>
      </c>
    </row>
  </sheetData>
  <autoFilter ref="A4:E39"/>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2026-10-23T12:41:51Z</dcterms:created>
  <dc:creator>openpyxl</dc:creator>
  <dc:description/>
  <dc:language>en-US</dc:language>
  <cp:lastModifiedBy/>
  <dcterms:modified xsi:type="dcterms:W3CDTF">2026-10-23T12:41:51Z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